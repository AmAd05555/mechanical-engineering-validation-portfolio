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59e9823e5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0384b90af9a468c"/>
    <x:sheet xmlns:r="http://schemas.openxmlformats.org/officeDocument/2006/relationships" name="Calculations" sheetId="2" r:id="R37f58827dc3649e7"/>
    <x:sheet xmlns:r="http://schemas.openxmlformats.org/officeDocument/2006/relationships" name="Kinematics" sheetId="3" r:id="Rda42307cdaa84495"/>
    <x:sheet xmlns:r="http://schemas.openxmlformats.org/officeDocument/2006/relationships" name="BOM" sheetId="4" r:id="R6785b592c7b446c2"/>
    <x:sheet xmlns:r="http://schemas.openxmlformats.org/officeDocument/2006/relationships" name="Risk Register" sheetId="5" r:id="R5f80dc0734f34cb0"/>
    <x:sheet xmlns:r="http://schemas.openxmlformats.org/officeDocument/2006/relationships" name="Design Review" sheetId="6" r:id="R9d870b91d5ea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d2ab7a0a04cba" /><Relationship Type="http://schemas.openxmlformats.org/officeDocument/2006/relationships/theme" Target="/xl/theme/theme1.xml" Id="R504ff63616d14516" /><Relationship Type="http://schemas.openxmlformats.org/officeDocument/2006/relationships/sharedStrings" Target="/xl/sharedStrings.xml" Id="R71ce3183dbde4c12" /><Relationship Type="http://schemas.openxmlformats.org/officeDocument/2006/relationships/worksheet" Target="/xl/worksheets/sheet1.xml" Id="R70384b90af9a468c" /><Relationship Type="http://schemas.openxmlformats.org/officeDocument/2006/relationships/worksheet" Target="/xl/worksheets/sheet2.xml" Id="R37f58827dc3649e7" /><Relationship Type="http://schemas.openxmlformats.org/officeDocument/2006/relationships/worksheet" Target="/xl/worksheets/sheet3.xml" Id="Rda42307cdaa84495" /><Relationship Type="http://schemas.openxmlformats.org/officeDocument/2006/relationships/worksheet" Target="/xl/worksheets/sheet4.xml" Id="R6785b592c7b446c2" /><Relationship Type="http://schemas.openxmlformats.org/officeDocument/2006/relationships/worksheet" Target="/xl/worksheets/sheet5.xml" Id="R5f80dc0734f34cb0" /><Relationship Type="http://schemas.openxmlformats.org/officeDocument/2006/relationships/worksheet" Target="/xl/worksheets/sheet6.xml" Id="R9d870b91d5ea44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0f7077ea2c43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Lift Height vs Arm Angle</a:t>
            </a:r>
          </a:p>
        </c:rich>
      </c:tx>
    </c:title>
    <c:plotArea>
      <c:lineChart>
        <c:grouping val="standard"/>
        <c:ser>
          <c:idx val="0"/>
          <c:order val="0"/>
          <c:tx>
            <c:v>Lift Height (mm)</c:v>
          </c:tx>
          <c:marker>
            <c:symbol val="none"/>
          </c:marker>
          <c:cat>
            <c:strRef>
              <c:f>'Kinematics'!$A$2:$A$10</c:f>
              <c:strCache>
                <c:ptCount val="0"/>
              </c:strCache>
            </c:strRef>
          </c:cat>
          <c:val>
            <c:numRef>
              <c:f>'Kinematics'!$B$2:$B$10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f7077ea2c43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98068c6ddfe482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5" hidden="0" customWidth="1"/>
  </x:cols>
  <x:sheetData>
    <x:row r="1">
      <x:c r="A1" s="12" t="str">
        <x:v>Compact Scissor Lift - Rev A</x:v>
      </x:c>
      <x:c r="B1" s="12" t="str"/>
      <x:c r="C1" s="12" t="str"/>
    </x:row>
    <x:row r="2">
      <x:c r="A2" s="13" t="str">
        <x:v>Parameter</x:v>
      </x:c>
      <x:c r="B2" s="13" t="str">
        <x:v>Value</x:v>
      </x:c>
      <x:c r="C2" s="13" t="str">
        <x:v>Units / Note</x:v>
      </x:c>
    </x:row>
    <x:row r="3">
      <x:c r="A3" s="14" t="str">
        <x:v>Rated payload</x:v>
      </x:c>
      <x:c r="B3" s="14" t="n">
        <x:v>10</x:v>
      </x:c>
      <x:c r="C3" s="14" t="str">
        <x:v>kg</x:v>
      </x:c>
    </x:row>
    <x:row r="4">
      <x:c r="A4" s="14" t="str">
        <x:v>Estimated moving platform mass</x:v>
      </x:c>
      <x:c r="B4" s="14" t="n">
        <x:v>2.5</x:v>
      </x:c>
      <x:c r="C4" s="14" t="str">
        <x:v>kg</x:v>
      </x:c>
    </x:row>
    <x:row r="5">
      <x:c r="A5" s="14" t="str">
        <x:v>Gravity</x:v>
      </x:c>
      <x:c r="B5" s="14" t="n">
        <x:v>9.81</x:v>
      </x:c>
      <x:c r="C5" s="14" t="str">
        <x:v>m/s^2</x:v>
      </x:c>
    </x:row>
    <x:row r="6">
      <x:c r="A6" s="14" t="str">
        <x:v>Dynamic factor</x:v>
      </x:c>
      <x:c r="B6" s="14" t="n">
        <x:v>1.25</x:v>
      </x:c>
      <x:c r="C6" s="14" t="str">
        <x:v>-</x:v>
      </x:c>
    </x:row>
    <x:row r="7">
      <x:c r="A7" s="14" t="str">
        <x:v>Design safety factor</x:v>
      </x:c>
      <x:c r="B7" s="14" t="n">
        <x:v>2</x:v>
      </x:c>
      <x:c r="C7" s="14" t="str">
        <x:v>-</x:v>
      </x:c>
    </x:row>
    <x:row r="8">
      <x:c r="A8" s="14" t="str">
        <x:v>Arm pivot spacing L</x:v>
      </x:c>
      <x:c r="B8" s="14" t="n">
        <x:v>260</x:v>
      </x:c>
      <x:c r="C8" s="14" t="str">
        <x:v>mm</x:v>
      </x:c>
    </x:row>
    <x:row r="9">
      <x:c r="A9" s="14" t="str">
        <x:v>Minimum arm angle</x:v>
      </x:c>
      <x:c r="B9" s="14" t="n">
        <x:v>20</x:v>
      </x:c>
      <x:c r="C9" s="14" t="str">
        <x:v>deg</x:v>
      </x:c>
    </x:row>
    <x:row r="10">
      <x:c r="A10" s="14" t="str">
        <x:v>Maximum arm angle</x:v>
      </x:c>
      <x:c r="B10" s="14" t="n">
        <x:v>60</x:v>
      </x:c>
      <x:c r="C10" s="14" t="str">
        <x:v>deg</x:v>
      </x:c>
    </x:row>
    <x:row r="11">
      <x:c r="A11" s="14" t="str">
        <x:v>Arm width</x:v>
      </x:c>
      <x:c r="B11" s="14" t="n">
        <x:v>30</x:v>
      </x:c>
      <x:c r="C11" s="14" t="str">
        <x:v>mm</x:v>
      </x:c>
    </x:row>
    <x:row r="12">
      <x:c r="A12" s="14" t="str">
        <x:v>Arm thickness</x:v>
      </x:c>
      <x:c r="B12" s="14" t="n">
        <x:v>6</x:v>
      </x:c>
      <x:c r="C12" s="14" t="str">
        <x:v>mm</x:v>
      </x:c>
    </x:row>
    <x:row r="13">
      <x:c r="A13" s="14" t="str">
        <x:v>Pivot pin diameter</x:v>
      </x:c>
      <x:c r="B13" s="14" t="n">
        <x:v>10</x:v>
      </x:c>
      <x:c r="C13" s="14" t="str">
        <x:v>mm</x:v>
      </x:c>
    </x:row>
    <x:row r="14">
      <x:c r="A14" s="14" t="str">
        <x:v>Steel elastic modulus</x:v>
      </x:c>
      <x:c r="B14" s="14" t="n">
        <x:v>200000</x:v>
      </x:c>
      <x:c r="C14" s="14" t="str">
        <x:v>MPa</x:v>
      </x:c>
    </x:row>
    <x:row r="15">
      <x:c r="A15" s="14" t="str">
        <x:v>Assumed steel yield strength</x:v>
      </x:c>
      <x:c r="B15" s="14" t="n">
        <x:v>235</x:v>
      </x:c>
      <x:c r="C15" s="14" t="str">
        <x:v>MPa (concept assumption)</x:v>
      </x:c>
    </x:row>
    <x:row r="16">
      <x:c r="A16" s="14" t="str">
        <x:v>Lead screw mean diameter</x:v>
      </x:c>
      <x:c r="B16" s="14" t="n">
        <x:v>10.5</x:v>
      </x:c>
      <x:c r="C16" s="14" t="str">
        <x:v>mm</x:v>
      </x:c>
    </x:row>
    <x:row r="17">
      <x:c r="A17" s="14" t="str">
        <x:v>Lead screw lead</x:v>
      </x:c>
      <x:c r="B17" s="14" t="n">
        <x:v>3</x:v>
      </x:c>
      <x:c r="C17" s="14" t="str">
        <x:v>mm/rev</x:v>
      </x:c>
    </x:row>
    <x:row r="18">
      <x:c r="A18" s="14" t="str">
        <x:v>Thread friction coefficient</x:v>
      </x:c>
      <x:c r="B18" s="14" t="n">
        <x:v>0.15</x:v>
      </x:c>
      <x:c r="C18" s="14" t="str">
        <x:v>assumed</x:v>
      </x:c>
    </x:row>
    <x:row r="19">
      <x:c r="A19" s="14" t="str">
        <x:v>Top plate effective span</x:v>
      </x:c>
      <x:c r="B19" s="14" t="n">
        <x:v>220</x:v>
      </x:c>
      <x:c r="C19" s="14" t="str">
        <x:v>mm</x:v>
      </x:c>
    </x:row>
    <x:row r="20">
      <x:c r="A20" s="14" t="str">
        <x:v>Top plate effective width</x:v>
      </x:c>
      <x:c r="B20" s="14" t="n">
        <x:v>300</x:v>
      </x:c>
      <x:c r="C20" s="14" t="str">
        <x:v>mm</x:v>
      </x:c>
    </x:row>
    <x:row r="21">
      <x:c r="A21" s="14" t="str">
        <x:v>Top plate thickness</x:v>
      </x:c>
      <x:c r="B21" s="14" t="n">
        <x:v>6</x:v>
      </x:c>
      <x:c r="C21" s="14" t="str">
        <x:v>mm</x:v>
      </x:c>
    </x:row>
    <x:row r="22">
      <x:c r="A22" s="14" t="str">
        <x:v>Knob radius</x:v>
      </x:c>
      <x:c r="B22" s="14" t="n">
        <x:v>25</x:v>
      </x:c>
      <x:c r="C22" s="14" t="str">
        <x:v>mm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16" hidden="0" customWidth="1"/>
    <x:col min="4" max="4" width="16" hidden="0" customWidth="1"/>
  </x:cols>
  <x:sheetData>
    <x:row r="1">
      <x:c r="A1" s="12" t="str">
        <x:v>Engineering Calculations - Rev A</x:v>
      </x:c>
      <x:c r="B1" s="12" t="str"/>
      <x:c r="C1" s="12" t="str"/>
      <x:c r="D1" s="12" t="str"/>
    </x:row>
    <x:row r="2">
      <x:c r="A2" s="13" t="str">
        <x:v>Check / Quantity</x:v>
      </x:c>
      <x:c r="B2" s="13" t="str">
        <x:v>Formula / Basis</x:v>
      </x:c>
      <x:c r="C2" s="13" t="str">
        <x:v>Result</x:v>
      </x:c>
      <x:c r="D2" s="13" t="str">
        <x:v>Units</x:v>
      </x:c>
    </x:row>
    <x:row r="3">
      <x:c r="A3" s="14" t="str">
        <x:v>Service vertical load</x:v>
      </x:c>
      <x:c r="B3" s="14" t="str">
        <x:v>(payload + platform mass) x g</x:v>
      </x:c>
      <x:c r="C3" s="18" t="n">
        <x:f>('Inputs'!B3+'Inputs'!B4)*'Inputs'!B5</x:f>
        <x:v>122.625</x:v>
      </x:c>
      <x:c r="D3" s="14" t="str">
        <x:v>N</x:v>
      </x:c>
    </x:row>
    <x:row r="4">
      <x:c r="A4" s="14" t="str">
        <x:v>Design vertical load</x:v>
      </x:c>
      <x:c r="B4" s="14" t="str">
        <x:v>service x dynamic factor x safety factor</x:v>
      </x:c>
      <x:c r="C4" s="18" t="n">
        <x:f>C3*'Inputs'!B6*'Inputs'!B7</x:f>
        <x:v>306.5625</x:v>
      </x:c>
      <x:c r="D4" s="14" t="str">
        <x:v>N</x:v>
      </x:c>
    </x:row>
    <x:row r="5">
      <x:c r="A5" s="14" t="str">
        <x:v>Minimum joint-to-joint lift height</x:v>
      </x:c>
      <x:c r="B5" s="14" t="str">
        <x:v>L x sin(theta_min)</x:v>
      </x:c>
      <x:c r="C5" s="18" t="n">
        <x:f>'Inputs'!B8*SIN(RADIANS('Inputs'!B9))</x:f>
        <x:v>88.92523726467387</x:v>
      </x:c>
      <x:c r="D5" s="14" t="str">
        <x:v>mm</x:v>
      </x:c>
    </x:row>
    <x:row r="6">
      <x:c r="A6" s="14" t="str">
        <x:v>Maximum joint-to-joint lift height</x:v>
      </x:c>
      <x:c r="B6" s="14" t="str">
        <x:v>L x sin(theta_max)</x:v>
      </x:c>
      <x:c r="C6" s="18" t="n">
        <x:f>'Inputs'!B8*SIN(RADIANS('Inputs'!B10))</x:f>
        <x:v>225.16660498395404</x:v>
      </x:c>
      <x:c r="D6" s="14" t="str">
        <x:v>mm</x:v>
      </x:c>
    </x:row>
    <x:row r="7">
      <x:c r="A7" s="14" t="str">
        <x:v>Vertical travel</x:v>
      </x:c>
      <x:c r="B7" s="14" t="str">
        <x:v>h_max - h_min</x:v>
      </x:c>
      <x:c r="C7" s="18" t="n">
        <x:f>C6-C5</x:f>
        <x:v>136.24136771928016</x:v>
      </x:c>
      <x:c r="D7" s="14" t="str">
        <x:v>mm</x:v>
      </x:c>
    </x:row>
    <x:row r="8">
      <x:c r="A8" s="14" t="str">
        <x:v>Maximum arm axial force at theta_min</x:v>
      </x:c>
      <x:c r="B8" s="14" t="str">
        <x:v>W_design / (4 sin theta)</x:v>
      </x:c>
      <x:c r="C8" s="18" t="n">
        <x:f>C4/(4*SIN(RADIANS('Inputs'!B9)))</x:f>
        <x:v>224.0821966062491</x:v>
      </x:c>
      <x:c r="D8" s="14" t="str">
        <x:v>N</x:v>
      </x:c>
    </x:row>
    <x:row r="9">
      <x:c r="A9" s="14" t="str">
        <x:v>Approx. lead screw axial force at theta_min</x:v>
      </x:c>
      <x:c r="B9" s="14" t="str">
        <x:v>W_design / tan theta</x:v>
      </x:c>
      <x:c r="C9" s="18" t="n">
        <x:f>C4/TAN(RADIANS('Inputs'!B9))</x:f>
        <x:v>842.2735464015577</x:v>
      </x:c>
      <x:c r="D9" s="14" t="str">
        <x:v>N</x:v>
      </x:c>
    </x:row>
    <x:row r="10">
      <x:c r="A10" s="14" t="str">
        <x:v>Lead angle</x:v>
      </x:c>
      <x:c r="B10" s="14" t="str">
        <x:v>atan(lead / (pi x mean dia))</x:v>
      </x:c>
      <x:c r="C10" s="18" t="n">
        <x:f>DEGREES(ATAN('Inputs'!B17/(PI()*'Inputs'!B16)))</x:f>
        <x:v>5.196508218148936</x:v>
      </x:c>
      <x:c r="D10" s="14" t="str">
        <x:v>deg</x:v>
      </x:c>
    </x:row>
    <x:row r="11">
      <x:c r="A11" s="14" t="str">
        <x:v>Friction angle</x:v>
      </x:c>
      <x:c r="B11" s="14" t="str">
        <x:v>atan(mu)</x:v>
      </x:c>
      <x:c r="C11" s="18" t="n">
        <x:f>DEGREES(ATAN('Inputs'!B18))</x:f>
        <x:v>8.530765609948133</x:v>
      </x:c>
      <x:c r="D11" s="14" t="str">
        <x:v>deg</x:v>
      </x:c>
    </x:row>
    <x:row r="12">
      <x:c r="A12" s="14" t="str">
        <x:v>Self-locking check</x:v>
      </x:c>
      <x:c r="B12" s="14" t="str">
        <x:v>friction angle &gt; lead angle</x:v>
      </x:c>
      <x:c r="C12" s="18" t="str">
        <x:f>IF(C11&gt;C10,"PASS","FAIL")</x:f>
        <x:v>PASS</x:v>
      </x:c>
      <x:c r="D12" s="14" t="str">
        <x:v>PASS/FAIL</x:v>
      </x:c>
    </x:row>
    <x:row r="13">
      <x:c r="A13" s="14" t="str">
        <x:v>Lead screw torque to raise</x:v>
      </x:c>
      <x:c r="B13" s="14" t="str">
        <x:v>square-thread approximation</x:v>
      </x:c>
      <x:c r="C13" s="18" t="n">
        <x:f>(C9*('Inputs'!B16/1000)/2)*(('Inputs'!B17/1000+PI()*'Inputs'!B18*('Inputs'!B16/1000))/(PI()*('Inputs'!B16/1000)-'Inputs'!B18*('Inputs'!B17/1000)))</x:f>
        <x:v>1.0801820974195901</x:v>
      </x:c>
      <x:c r="D13" s="14" t="str">
        <x:v>N*m</x:v>
      </x:c>
    </x:row>
    <x:row r="14">
      <x:c r="A14" s="14" t="str">
        <x:v>Estimated hand force at knob</x:v>
      </x:c>
      <x:c r="B14" s="14" t="str">
        <x:v>Torque / knob radius</x:v>
      </x:c>
      <x:c r="C14" s="18" t="n">
        <x:f>C13/('Inputs'!B22/1000)</x:f>
        <x:v>43.2072838967836</x:v>
      </x:c>
      <x:c r="D14" s="14" t="str">
        <x:v>N</x:v>
      </x:c>
    </x:row>
    <x:row r="15">
      <x:c r="A15" s="14" t="str">
        <x:v>Arm cross-sectional area</x:v>
      </x:c>
      <x:c r="B15" s="14" t="str">
        <x:v>b x t</x:v>
      </x:c>
      <x:c r="C15" s="18" t="n">
        <x:f>'Inputs'!B11*'Inputs'!B12</x:f>
        <x:v>180</x:v>
      </x:c>
      <x:c r="D15" s="14" t="str">
        <x:v>mm^2</x:v>
      </x:c>
    </x:row>
    <x:row r="16">
      <x:c r="A16" s="14" t="str">
        <x:v>Arm axial stress</x:v>
      </x:c>
      <x:c r="B16" s="14" t="str">
        <x:v>F_arm / A</x:v>
      </x:c>
      <x:c r="C16" s="18" t="n">
        <x:f>C8/C15</x:f>
        <x:v>1.2449010922569395</x:v>
      </x:c>
      <x:c r="D16" s="14" t="str">
        <x:v>MPa</x:v>
      </x:c>
    </x:row>
    <x:row r="17">
      <x:c r="A17" s="14" t="str">
        <x:v>Arm weak-axis second moment I</x:v>
      </x:c>
      <x:c r="B17" s="14" t="str">
        <x:v>b t^3 / 12</x:v>
      </x:c>
      <x:c r="C17" s="18" t="n">
        <x:f>'Inputs'!B11*'Inputs'!B12^3/12</x:f>
        <x:v>540</x:v>
      </x:c>
      <x:c r="D17" s="14" t="str">
        <x:v>mm^4</x:v>
      </x:c>
    </x:row>
    <x:row r="18">
      <x:c r="A18" s="14" t="str">
        <x:v>Euler critical buckling load</x:v>
      </x:c>
      <x:c r="B18" s="14" t="str">
        <x:v>pi^2 E I / L^2, K=1</x:v>
      </x:c>
      <x:c r="C18" s="18" t="n">
        <x:f>PI()^2*'Inputs'!B14*C17/'Inputs'!B8^2</x:f>
        <x:v>15768.007031326193</x:v>
      </x:c>
      <x:c r="D18" s="14" t="str">
        <x:v>N</x:v>
      </x:c>
    </x:row>
    <x:row r="19">
      <x:c r="A19" s="14" t="str">
        <x:v>Buckling factor vs arm load</x:v>
      </x:c>
      <x:c r="B19" s="14" t="str">
        <x:v>Pcr / F_arm</x:v>
      </x:c>
      <x:c r="C19" s="18" t="n">
        <x:f>C18/C8</x:f>
        <x:v>70.3670673981891</x:v>
      </x:c>
      <x:c r="D19" s="14" t="str">
        <x:v>-</x:v>
      </x:c>
    </x:row>
    <x:row r="20">
      <x:c r="A20" s="14" t="str">
        <x:v>Pin bearing stress in arm</x:v>
      </x:c>
      <x:c r="B20" s="14" t="str">
        <x:v>F_arm / (t d)</x:v>
      </x:c>
      <x:c r="C20" s="18" t="n">
        <x:f>C8/('Inputs'!B12*'Inputs'!B13)</x:f>
        <x:v>3.7347032767708184</x:v>
      </x:c>
      <x:c r="D20" s="14" t="str">
        <x:v>MPa</x:v>
      </x:c>
    </x:row>
    <x:row r="21">
      <x:c r="A21" s="14" t="str">
        <x:v>Pin double-shear stress</x:v>
      </x:c>
      <x:c r="B21" s="14" t="str">
        <x:v>F_arm / (2 x pin area)</x:v>
      </x:c>
      <x:c r="C21" s="18" t="n">
        <x:f>C8/(2*(PI()*'Inputs'!B13^2/4))</x:f>
        <x:v>1.4265515699509792</x:v>
      </x:c>
      <x:c r="D21" s="14" t="str">
        <x:v>MPa</x:v>
      </x:c>
    </x:row>
    <x:row r="22">
      <x:c r="A22" s="14" t="str">
        <x:v>Top plate max bending moment</x:v>
      </x:c>
      <x:c r="B22" s="14" t="str">
        <x:v>P L / 4 (conservative strip)</x:v>
      </x:c>
      <x:c r="C22" s="18" t="n">
        <x:f>C4*'Inputs'!B19/4</x:f>
        <x:v>16860.9375</x:v>
      </x:c>
      <x:c r="D22" s="14" t="str">
        <x:v>N*mm</x:v>
      </x:c>
    </x:row>
    <x:row r="23">
      <x:c r="A23" s="14" t="str">
        <x:v>Top plate section modulus</x:v>
      </x:c>
      <x:c r="B23" s="14" t="str">
        <x:v>b t^2 / 6</x:v>
      </x:c>
      <x:c r="C23" s="18" t="n">
        <x:f>'Inputs'!B20*'Inputs'!B21^2/6</x:f>
        <x:v>1800</x:v>
      </x:c>
      <x:c r="D23" s="14" t="str">
        <x:v>mm^3</x:v>
      </x:c>
    </x:row>
    <x:row r="24">
      <x:c r="A24" s="14" t="str">
        <x:v>Top plate bending stress</x:v>
      </x:c>
      <x:c r="B24" s="14" t="str">
        <x:v>M / Z</x:v>
      </x:c>
      <x:c r="C24" s="18" t="n">
        <x:f>C22/C23</x:f>
        <x:v>9.3671875</x:v>
      </x:c>
      <x:c r="D24" s="14" t="str">
        <x:v>MPa</x:v>
      </x:c>
    </x:row>
    <x:row r="25">
      <x:c r="A25" s="14" t="str">
        <x:v>Top plate center deflection</x:v>
      </x:c>
      <x:c r="B25" s="14" t="str">
        <x:v>P L^3 /(48 E I)</x:v>
      </x:c>
      <x:c r="C25" s="18" t="n">
        <x:f>C4*'Inputs'!B19^3/(48*'Inputs'!B14*('Inputs'!B20*'Inputs'!B21^3/12))</x:f>
        <x:v>0.06296831597222222</x:v>
      </x:c>
      <x:c r="D25" s="14" t="str">
        <x:v>mm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Angle (deg)</x:v>
      </x:c>
      <x:c r="B1" s="20" t="str">
        <x:v>Lift Height (mm)</x:v>
      </x:c>
      <x:c r="C1" s="20" t="str">
        <x:v>Horizontal Span (mm)</x:v>
      </x:c>
      <x:c r="D1" s="20" t="str">
        <x:v>Screw Travel from Closed (mm)</x:v>
      </x:c>
      <x:c r="E1" s="20" t="str">
        <x:v>Screw Force (N)</x:v>
      </x:c>
      <x:c r="F1" s="20" t="str">
        <x:v>Raise Torque (N*m)</x:v>
      </x:c>
    </x:row>
    <x:row r="2">
      <x:c r="A2" t="n">
        <x:v>20</x:v>
      </x:c>
      <x:c r="B2" s="22" t="n">
        <x:f>'Inputs'!B8*SIN(RADIANS(A2))</x:f>
        <x:v>88.92523726467387</x:v>
      </x:c>
      <x:c r="C2" s="22" t="n">
        <x:f>'Inputs'!B8*COS(RADIANS(A2))</x:f>
        <x:v>244.32008140433618</x:v>
      </x:c>
      <x:c r="D2" s="22" t="n">
        <x:f>$C$2-C2</x:f>
        <x:v>0</x:v>
      </x:c>
      <x:c r="E2" s="22" t="n">
        <x:f>'Calculations'!$C$4/TAN(RADIANS(A2))</x:f>
        <x:v>842.2735464015577</x:v>
      </x:c>
      <x:c r="F2" s="22" t="n">
        <x:f>(E2*('Inputs'!$B$16/1000)/2)*(('Inputs'!$B$17/1000+PI()*'Inputs'!$B$18*('Inputs'!$B$16/1000))/(PI()*('Inputs'!$B$16/1000)-'Inputs'!$B$18*('Inputs'!$B$17/1000)))</x:f>
        <x:v>1.0801820974195901</x:v>
      </x:c>
    </x:row>
    <x:row r="3">
      <x:c r="A3" t="n">
        <x:v>25</x:v>
      </x:c>
      <x:c r="B3" s="22" t="n">
        <x:f>'Inputs'!B9*SIN(RADIANS(A3))</x:f>
        <x:v>8.452365234813989</x:v>
      </x:c>
      <x:c r="C3" s="22" t="n">
        <x:f>'Inputs'!B9*COS(RADIANS(A3))</x:f>
        <x:v>18.126155740732997</x:v>
      </x:c>
      <x:c r="D3" s="22" t="n">
        <x:f>$C$2-C3</x:f>
        <x:v>226.19392566360318</x:v>
      </x:c>
      <x:c r="E3" s="22" t="n">
        <x:f>'Calculations'!$C$4/TAN(RADIANS(A3))</x:f>
        <x:v>657.4254028187116</x:v>
      </x:c>
      <x:c r="F3" s="22" t="n">
        <x:f>(E3*('Inputs'!$B$16/1000)/2)*(('Inputs'!$B$17/1000+PI()*'Inputs'!$B$18*('Inputs'!$B$16/1000))/(PI()*('Inputs'!$B$16/1000)-'Inputs'!$B$18*('Inputs'!$B$17/1000)))</x:f>
        <x:v>0.8431217548592852</x:v>
      </x:c>
    </x:row>
    <x:row r="4">
      <x:c r="A4" t="n">
        <x:v>30</x:v>
      </x:c>
      <x:c r="B4" s="22" t="n">
        <x:f>'Inputs'!B10*SIN(RADIANS(A4))</x:f>
        <x:v>29.999999999999996</x:v>
      </x:c>
      <x:c r="C4" s="22" t="n">
        <x:f>'Inputs'!B10*COS(RADIANS(A4))</x:f>
        <x:v>51.96152422706632</x:v>
      </x:c>
      <x:c r="D4" s="22" t="n">
        <x:f>$C$2-C4</x:f>
        <x:v>192.35855717726986</x:v>
      </x:c>
      <x:c r="E4" s="22" t="n">
        <x:f>'Calculations'!$C$4/TAN(RADIANS(A4))</x:f>
        <x:v>530.981825695334</x:v>
      </x:c>
      <x:c r="F4" s="22" t="n">
        <x:f>(E4*('Inputs'!$B$16/1000)/2)*(('Inputs'!$B$17/1000+PI()*'Inputs'!$B$18*('Inputs'!$B$16/1000))/(PI()*('Inputs'!$B$16/1000)-'Inputs'!$B$18*('Inputs'!$B$17/1000)))</x:f>
        <x:v>0.6809629301806699</x:v>
      </x:c>
    </x:row>
    <x:row r="5">
      <x:c r="A5" t="n">
        <x:v>35</x:v>
      </x:c>
      <x:c r="B5" s="22" t="n">
        <x:f>'Inputs'!B11*SIN(RADIANS(A5))</x:f>
        <x:v>17.20729309053138</x:v>
      </x:c>
      <x:c r="C5" s="22" t="n">
        <x:f>'Inputs'!B11*COS(RADIANS(A5))</x:f>
        <x:v>24.574561328669756</x:v>
      </x:c>
      <x:c r="D5" s="22" t="n">
        <x:f>$C$2-C5</x:f>
        <x:v>219.74552007566643</x:v>
      </x:c>
      <x:c r="E5" s="22" t="n">
        <x:f>'Calculations'!$C$4/TAN(RADIANS(A5))</x:f>
        <x:v>437.81662331687954</x:v>
      </x:c>
      <x:c r="F5" s="22" t="n">
        <x:f>(E5*('Inputs'!$B$16/1000)/2)*(('Inputs'!$B$17/1000+PI()*'Inputs'!$B$18*('Inputs'!$B$16/1000))/(PI()*('Inputs'!$B$16/1000)-'Inputs'!$B$18*('Inputs'!$B$17/1000)))</x:f>
        <x:v>0.561482288598581</x:v>
      </x:c>
    </x:row>
    <x:row r="6">
      <x:c r="A6" t="n">
        <x:v>40</x:v>
      </x:c>
      <x:c r="B6" s="22" t="n">
        <x:f>'Inputs'!B12*SIN(RADIANS(A6))</x:f>
        <x:v>3.8567256581192355</x:v>
      </x:c>
      <x:c r="C6" s="22" t="n">
        <x:f>'Inputs'!B12*COS(RADIANS(A6))</x:f>
        <x:v>4.596266658713868</x:v>
      </x:c>
      <x:c r="D6" s="22" t="n">
        <x:f>$C$2-C6</x:f>
        <x:v>239.72381474562232</x:v>
      </x:c>
      <x:c r="E6" s="22" t="n">
        <x:f>'Calculations'!$C$4/TAN(RADIANS(A6))</x:f>
        <x:v>365.34696072966256</x:v>
      </x:c>
      <x:c r="F6" s="22" t="n">
        <x:f>(E6*('Inputs'!$B$16/1000)/2)*(('Inputs'!$B$17/1000+PI()*'Inputs'!$B$18*('Inputs'!$B$16/1000))/(PI()*('Inputs'!$B$16/1000)-'Inputs'!$B$18*('Inputs'!$B$17/1000)))</x:f>
        <x:v>0.46854284811966845</x:v>
      </x:c>
    </x:row>
    <x:row r="7">
      <x:c r="A7" t="n">
        <x:v>45</x:v>
      </x:c>
      <x:c r="B7" s="22" t="n">
        <x:f>'Inputs'!B13*SIN(RADIANS(A7))</x:f>
        <x:v>7.071067811865475</x:v>
      </x:c>
      <x:c r="C7" s="22" t="n">
        <x:f>'Inputs'!B13*COS(RADIANS(A7))</x:f>
        <x:v>7.0710678118654755</x:v>
      </x:c>
      <x:c r="D7" s="22" t="n">
        <x:f>$C$2-C7</x:f>
        <x:v>237.2490135924707</x:v>
      </x:c>
      <x:c r="E7" s="22" t="n">
        <x:f>'Calculations'!$C$4/TAN(RADIANS(A7))</x:f>
        <x:v>306.56250000000006</x:v>
      </x:c>
      <x:c r="F7" s="22" t="n">
        <x:f>(E7*('Inputs'!$B$16/1000)/2)*(('Inputs'!$B$17/1000+PI()*'Inputs'!$B$18*('Inputs'!$B$16/1000))/(PI()*('Inputs'!$B$16/1000)-'Inputs'!$B$18*('Inputs'!$B$17/1000)))</x:f>
        <x:v>0.3931541310479661</x:v>
      </x:c>
    </x:row>
    <x:row r="8">
      <x:c r="A8" t="n">
        <x:v>50</x:v>
      </x:c>
      <x:c r="B8" s="22" t="n">
        <x:f>'Inputs'!B14*SIN(RADIANS(A8))</x:f>
        <x:v>153208.8886237956</x:v>
      </x:c>
      <x:c r="C8" s="22" t="n">
        <x:f>'Inputs'!B14*COS(RADIANS(A8))</x:f>
        <x:v>128557.52193730787</x:v>
      </x:c>
      <x:c r="D8" s="22" t="n">
        <x:f>$C$2-C8</x:f>
        <x:v>-128313.20185590354</x:v>
      </x:c>
      <x:c r="E8" s="22" t="n">
        <x:f>'Calculations'!$C$4/TAN(RADIANS(A8))</x:f>
        <x:v>257.2364806827849</x:v>
      </x:c>
      <x:c r="F8" s="22" t="n">
        <x:f>(E8*('Inputs'!$B$16/1000)/2)*(('Inputs'!$B$17/1000+PI()*'Inputs'!$B$18*('Inputs'!$B$16/1000))/(PI()*('Inputs'!$B$16/1000)-'Inputs'!$B$18*('Inputs'!$B$17/1000)))</x:f>
        <x:v>0.3298954863581723</x:v>
      </x:c>
    </x:row>
    <x:row r="9">
      <x:c r="A9" t="n">
        <x:v>55</x:v>
      </x:c>
      <x:c r="B9" s="22" t="n">
        <x:f>'Inputs'!B15*SIN(RADIANS(A9))</x:f>
        <x:v>192.50073040791307</x:v>
      </x:c>
      <x:c r="C9" s="22" t="n">
        <x:f>'Inputs'!B15*COS(RADIANS(A9))</x:f>
        <x:v>134.79046254249585</x:v>
      </x:c>
      <x:c r="D9" s="22" t="n">
        <x:f>$C$2-C9</x:f>
        <x:v>109.52961886184033</x:v>
      </x:c>
      <x:c r="E9" s="22" t="n">
        <x:f>'Calculations'!$C$4/TAN(RADIANS(A9))</x:f>
        <x:v>214.65737343241418</x:v>
      </x:c>
      <x:c r="F9" s="22" t="n">
        <x:f>(E9*('Inputs'!$B$16/1000)/2)*(('Inputs'!$B$17/1000+PI()*'Inputs'!$B$18*('Inputs'!$B$16/1000))/(PI()*('Inputs'!$B$16/1000)-'Inputs'!$B$18*('Inputs'!$B$17/1000)))</x:f>
        <x:v>0.2752894862380739</x:v>
      </x:c>
    </x:row>
    <x:row r="10">
      <x:c r="A10" t="n">
        <x:v>60</x:v>
      </x:c>
      <x:c r="B10" s="22" t="n">
        <x:f>'Inputs'!B16*SIN(RADIANS(A10))</x:f>
        <x:v>9.093266739736606</x:v>
      </x:c>
      <x:c r="C10" s="22" t="n">
        <x:f>'Inputs'!B16*COS(RADIANS(A10))</x:f>
        <x:v>5.250000000000001</x:v>
      </x:c>
      <x:c r="D10" s="22" t="n">
        <x:f>$C$2-C10</x:f>
        <x:v>239.07008140433618</x:v>
      </x:c>
      <x:c r="E10" s="22" t="n">
        <x:f>'Calculations'!$C$4/TAN(RADIANS(A10))</x:f>
        <x:v>176.99394189844472</x:v>
      </x:c>
      <x:c r="F10" s="22" t="n">
        <x:f>(E10*('Inputs'!$B$16/1000)/2)*(('Inputs'!$B$17/1000+PI()*'Inputs'!$B$18*('Inputs'!$B$16/1000))/(PI()*('Inputs'!$B$16/1000)-'Inputs'!$B$18*('Inputs'!$B$17/1000)))</x:f>
        <x:v>0.22698764339355668</x:v>
      </x:c>
    </x:row>
  </x:sheetData>
  <x:pageMargins left="0.7" right="0.7" top="0.75" bottom="0.75" header="0.3" footer="0.3"/>
  <x:drawing xmlns:r="http://schemas.openxmlformats.org/officeDocument/2006/relationships" r:id="R998068c6ddfe4827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4" t="str">
        <x:v>Item</x:v>
      </x:c>
      <x:c r="B1" s="24" t="str">
        <x:v>Part Number</x:v>
      </x:c>
      <x:c r="C1" s="24" t="str">
        <x:v>Description</x:v>
      </x:c>
      <x:c r="D1" s="24" t="str">
        <x:v>Qty</x:v>
      </x:c>
      <x:c r="E1" s="24" t="str">
        <x:v>Material / Spec</x:v>
      </x:c>
      <x:c r="F1" s="24" t="str">
        <x:v>Process / Note</x:v>
      </x:c>
    </x:row>
    <x:row r="2">
      <x:c r="A2" s="14" t="n">
        <x:v>1</x:v>
      </x:c>
      <x:c r="B2" s="14" t="str">
        <x:v>SL-001</x:v>
      </x:c>
      <x:c r="C2" s="14" t="str">
        <x:v>Base Plate</x:v>
      </x:c>
      <x:c r="D2" s="14" t="n">
        <x:v>1</x:v>
      </x:c>
      <x:c r="E2" s="14" t="str">
        <x:v>Mild steel, 8 mm</x:v>
      </x:c>
      <x:c r="F2" s="14" t="str">
        <x:v>Laser cut / machined</x:v>
      </x:c>
    </x:row>
    <x:row r="3">
      <x:c r="A3" s="14" t="n">
        <x:v>2</x:v>
      </x:c>
      <x:c r="B3" s="14" t="str">
        <x:v>SL-002</x:v>
      </x:c>
      <x:c r="C3" s="14" t="str">
        <x:v>Top Platform</x:v>
      </x:c>
      <x:c r="D3" s="14" t="n">
        <x:v>1</x:v>
      </x:c>
      <x:c r="E3" s="14" t="str">
        <x:v>Mild steel, 6 mm</x:v>
      </x:c>
      <x:c r="F3" s="14" t="str">
        <x:v>Laser cut / machined slots</x:v>
      </x:c>
    </x:row>
    <x:row r="4">
      <x:c r="A4" s="14" t="n">
        <x:v>3</x:v>
      </x:c>
      <x:c r="B4" s="14" t="str">
        <x:v>SL-003</x:v>
      </x:c>
      <x:c r="C4" s="14" t="str">
        <x:v>Scissor Arm</x:v>
      </x:c>
      <x:c r="D4" s="14" t="n">
        <x:v>4</x:v>
      </x:c>
      <x:c r="E4" s="14" t="str">
        <x:v>Mild steel, 30 x 6 flat</x:v>
      </x:c>
      <x:c r="F4" s="14" t="str">
        <x:v>Laser cut / drilled</x:v>
      </x:c>
    </x:row>
    <x:row r="5">
      <x:c r="A5" s="14" t="n">
        <x:v>4</x:v>
      </x:c>
      <x:c r="B5" s="14" t="str">
        <x:v>SL-004</x:v>
      </x:c>
      <x:c r="C5" s="14" t="str">
        <x:v>Pivot Pin Ø10</x:v>
      </x:c>
      <x:c r="D5" s="14" t="n">
        <x:v>10</x:v>
      </x:c>
      <x:c r="E5" s="14" t="str">
        <x:v>Steel</x:v>
      </x:c>
      <x:c r="F5" s="14" t="str">
        <x:v>Turned</x:v>
      </x:c>
    </x:row>
    <x:row r="6">
      <x:c r="A6" s="14" t="n">
        <x:v>5</x:v>
      </x:c>
      <x:c r="B6" s="14" t="str">
        <x:v>SL-005</x:v>
      </x:c>
      <x:c r="C6" s="14" t="str">
        <x:v>Fixed Pivot Bracket</x:v>
      </x:c>
      <x:c r="D6" s="14" t="n">
        <x:v>4</x:v>
      </x:c>
      <x:c r="E6" s="14" t="str">
        <x:v>Mild steel</x:v>
      </x:c>
      <x:c r="F6" s="14" t="str">
        <x:v>Machined / bolted</x:v>
      </x:c>
    </x:row>
    <x:row r="7">
      <x:c r="A7" s="14" t="n">
        <x:v>6</x:v>
      </x:c>
      <x:c r="B7" s="14" t="str">
        <x:v>SL-006</x:v>
      </x:c>
      <x:c r="C7" s="14" t="str">
        <x:v>Lower Slider Block</x:v>
      </x:c>
      <x:c r="D7" s="14" t="n">
        <x:v>2</x:v>
      </x:c>
      <x:c r="E7" s="14" t="str">
        <x:v>Steel / bush</x:v>
      </x:c>
      <x:c r="F7" s="14" t="str">
        <x:v>Machined</x:v>
      </x:c>
    </x:row>
    <x:row r="8">
      <x:c r="A8" s="14" t="n">
        <x:v>7</x:v>
      </x:c>
      <x:c r="B8" s="14" t="str">
        <x:v>SL-007</x:v>
      </x:c>
      <x:c r="C8" s="14" t="str">
        <x:v>Top Slider Block</x:v>
      </x:c>
      <x:c r="D8" s="14" t="n">
        <x:v>2</x:v>
      </x:c>
      <x:c r="E8" s="14" t="str">
        <x:v>Steel / roller option</x:v>
      </x:c>
      <x:c r="F8" s="14" t="str">
        <x:v>Machined</x:v>
      </x:c>
    </x:row>
    <x:row r="9">
      <x:c r="A9" s="14" t="n">
        <x:v>8</x:v>
      </x:c>
      <x:c r="B9" s="14" t="str">
        <x:v>SL-008</x:v>
      </x:c>
      <x:c r="C9" s="14" t="str">
        <x:v>Cross Carriage</x:v>
      </x:c>
      <x:c r="D9" s="14" t="n">
        <x:v>1</x:v>
      </x:c>
      <x:c r="E9" s="14" t="str">
        <x:v>Mild steel</x:v>
      </x:c>
      <x:c r="F9" s="14" t="str">
        <x:v>Machined</x:v>
      </x:c>
    </x:row>
    <x:row r="10">
      <x:c r="A10" s="14" t="n">
        <x:v>9</x:v>
      </x:c>
      <x:c r="B10" s="14" t="str">
        <x:v>SL-009</x:v>
      </x:c>
      <x:c r="C10" s="14" t="str">
        <x:v>Lead Screw TR12x3 (concept)</x:v>
      </x:c>
      <x:c r="D10" s="14" t="n">
        <x:v>1</x:v>
      </x:c>
      <x:c r="E10" s="14" t="str">
        <x:v>Steel</x:v>
      </x:c>
      <x:c r="F10" s="14" t="str">
        <x:v>Purchased / threaded</x:v>
      </x:c>
    </x:row>
    <x:row r="11">
      <x:c r="A11" s="14" t="n">
        <x:v>10</x:v>
      </x:c>
      <x:c r="B11" s="14" t="str">
        <x:v>SL-010</x:v>
      </x:c>
      <x:c r="C11" s="14" t="str">
        <x:v>Lead Nut</x:v>
      </x:c>
      <x:c r="D11" s="14" t="n">
        <x:v>1</x:v>
      </x:c>
      <x:c r="E11" s="14" t="str">
        <x:v>Bronze or polymer nut</x:v>
      </x:c>
      <x:c r="F11" s="14" t="str">
        <x:v>Purchased / machined</x:v>
      </x:c>
    </x:row>
    <x:row r="12">
      <x:c r="A12" s="14" t="n">
        <x:v>11</x:v>
      </x:c>
      <x:c r="B12" s="14" t="str">
        <x:v>SL-011</x:v>
      </x:c>
      <x:c r="C12" s="14" t="str">
        <x:v>Lead Screw Support</x:v>
      </x:c>
      <x:c r="D12" s="14" t="n">
        <x:v>2</x:v>
      </x:c>
      <x:c r="E12" s="14" t="str">
        <x:v>Steel</x:v>
      </x:c>
      <x:c r="F12" s="14" t="str">
        <x:v>Machined</x:v>
      </x:c>
    </x:row>
    <x:row r="13">
      <x:c r="A13" s="14" t="n">
        <x:v>12</x:v>
      </x:c>
      <x:c r="B13" s="14" t="str">
        <x:v>SL-012</x:v>
      </x:c>
      <x:c r="C13" s="14" t="str">
        <x:v>Hand Knob Ø50</x:v>
      </x:c>
      <x:c r="D13" s="14" t="n">
        <x:v>1</x:v>
      </x:c>
      <x:c r="E13" s="14" t="str">
        <x:v>Aluminum / polymer</x:v>
      </x:c>
      <x:c r="F13" s="14" t="str">
        <x:v>Purchased / machined</x:v>
      </x:c>
    </x:row>
    <x:row r="14">
      <x:c r="A14" s="14" t="n">
        <x:v>13</x:v>
      </x:c>
      <x:c r="B14" s="14" t="str">
        <x:v>STD-001</x:v>
      </x:c>
      <x:c r="C14" s="14" t="str">
        <x:v>M6 Fasteners</x:v>
      </x:c>
      <x:c r="D14" s="14" t="n">
        <x:v>12</x:v>
      </x:c>
      <x:c r="E14" s="14" t="str">
        <x:v>Class 8.8</x:v>
      </x:c>
      <x:c r="F14" s="14" t="str">
        <x:v>Purchased</x:v>
      </x:c>
    </x:row>
    <x:row r="15">
      <x:c r="A15" s="14" t="n">
        <x:v>14</x:v>
      </x:c>
      <x:c r="B15" s="14" t="str">
        <x:v>STD-002</x:v>
      </x:c>
      <x:c r="C15" s="14" t="str">
        <x:v>Washers / Retainers</x:v>
      </x:c>
      <x:c r="D15" s="14" t="n">
        <x:v>10</x:v>
      </x:c>
      <x:c r="E15" s="14" t="str">
        <x:v>Steel</x:v>
      </x:c>
      <x:c r="F15" s="14" t="str">
        <x:v>Purchased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7" max="7" width="42" hidden="0" customWidth="1"/>
    <x:col min="8" max="8" width="42" hidden="0" customWidth="1"/>
  </x:cols>
  <x:sheetData>
    <x:row r="1">
      <x:c r="A1" s="24" t="str">
        <x:v>Hazard</x:v>
      </x:c>
      <x:c r="B1" s="24" t="str">
        <x:v>Initial Risk</x:v>
      </x:c>
      <x:c r="C1" s="24" t="str">
        <x:v>Design / Control Measure</x:v>
      </x:c>
      <x:c r="D1" s="24" t="str">
        <x:v>Residual Risk</x:v>
      </x:c>
      <x:c r="E1" s="24" t="str">
        <x:v>Verification</x:v>
      </x:c>
      <x:c r="G1" s="13" t="str">
        <x:v>Reference</x:v>
      </x:c>
      <x:c r="H1" s="13" t="str">
        <x:v>Source</x:v>
      </x:c>
    </x:row>
    <x:row r="2">
      <x:c r="A2" s="14" t="str">
        <x:v>Pinch points at scissor joints</x:v>
      </x:c>
      <x:c r="B2" s="14" t="str">
        <x:v>High</x:v>
      </x:c>
      <x:c r="C2" s="14" t="str">
        <x:v>Keep hands clear; add guards/covers for prototype use; warning label</x:v>
      </x:c>
      <x:c r="D2" s="14" t="str">
        <x:v>Medium</x:v>
      </x:c>
      <x:c r="E2" s="14" t="str">
        <x:v>Design review + prototype inspection</x:v>
      </x:c>
      <x:c r="G2" s="14" t="str">
        <x:v>ISO 12100:2010</x:v>
      </x:c>
      <x:c r="H2" s="14" t="str">
        <x:v>https://www.iso.org/standard/51528.html</x:v>
      </x:c>
    </x:row>
    <x:row r="3">
      <x:c r="A3" s="14" t="str">
        <x:v>Overload / structural failure</x:v>
      </x:c>
      <x:c r="B3" s="14" t="str">
        <x:v>High</x:v>
      </x:c>
      <x:c r="C3" s="14" t="str">
        <x:v>Rated payload 10 kg; analytical design load includes dynamic factor and safety factor; prohibit people lifting</x:v>
      </x:c>
      <x:c r="D3" s="14" t="str">
        <x:v>Low</x:v>
      </x:c>
      <x:c r="E3" s="14" t="str">
        <x:v>Calculation review + future proof-load test</x:v>
      </x:c>
      <x:c r="G3" s="14" t="str">
        <x:v>Use</x:v>
      </x:c>
      <x:c r="H3" s="14" t="str">
        <x:v>Risk-assessment and risk-reduction framework only; this project is not certified.</x:v>
      </x:c>
    </x:row>
    <x:row r="4">
      <x:c r="A4" s="14" t="str">
        <x:v>Lead screw back-driving</x:v>
      </x:c>
      <x:c r="B4" s="14" t="str">
        <x:v>Medium</x:v>
      </x:c>
      <x:c r="C4" s="14" t="str">
        <x:v>Use self-locking screw geometry; verify friction and lead angle; optional secondary lock</x:v>
      </x:c>
      <x:c r="D4" s="14" t="str">
        <x:v>Low</x:v>
      </x:c>
      <x:c r="E4" s="14" t="str">
        <x:v>Self-locking calculation + physical test</x:v>
      </x:c>
    </x:row>
    <x:row r="5">
      <x:c r="A5" s="14" t="str">
        <x:v>Platform instability / off-center load</x:v>
      </x:c>
      <x:c r="B5" s="14" t="str">
        <x:v>High</x:v>
      </x:c>
      <x:c r="C5" s="14" t="str">
        <x:v>Wide base footprint; specify centered loading; future anti-tip check</x:v>
      </x:c>
      <x:c r="D5" s="14" t="str">
        <x:v>Medium</x:v>
      </x:c>
      <x:c r="E5" s="14" t="str">
        <x:v>Physical stability test</x:v>
      </x:c>
    </x:row>
    <x:row r="6">
      <x:c r="A6" s="14" t="str">
        <x:v>Exposed screw / rotating knob</x:v>
      </x:c>
      <x:c r="B6" s="14" t="str">
        <x:v>Medium</x:v>
      </x:c>
      <x:c r="C6" s="14" t="str">
        <x:v>Guard rotating screw where practical; keep loose clothing clear</x:v>
      </x:c>
      <x:c r="D6" s="14" t="str">
        <x:v>Low</x:v>
      </x:c>
      <x:c r="E6" s="14" t="str">
        <x:v>Prototype inspection</x:v>
      </x:c>
    </x:row>
    <x:row r="7">
      <x:c r="A7" s="14" t="str">
        <x:v>Sharp edges / burrs</x:v>
      </x:c>
      <x:c r="B7" s="14" t="str">
        <x:v>Medium</x:v>
      </x:c>
      <x:c r="C7" s="14" t="str">
        <x:v>Deburr and edge-break all manufactured parts</x:v>
      </x:c>
      <x:c r="D7" s="14" t="str">
        <x:v>Low</x:v>
      </x:c>
      <x:c r="E7" s="14" t="str">
        <x:v>Manufacturing inspection</x:v>
      </x:c>
    </x:row>
    <x:row r="8">
      <x:c r="A8" s="14" t="str">
        <x:v>Fastener loosening</x:v>
      </x:c>
      <x:c r="B8" s="14" t="str">
        <x:v>Medium</x:v>
      </x:c>
      <x:c r="C8" s="14" t="str">
        <x:v>Use prevailing torque nuts / threadlocker where appropriate</x:v>
      </x:c>
      <x:c r="D8" s="14" t="str">
        <x:v>Low</x:v>
      </x:c>
      <x:c r="E8" s="14" t="str">
        <x:v>Assembly inspection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6" hidden="0" customWidth="1"/>
  </x:cols>
  <x:sheetData>
    <x:row r="1">
      <x:c r="A1" s="24" t="str">
        <x:v>Design Review Item</x:v>
      </x:c>
      <x:c r="B1" s="24" t="str">
        <x:v>Status</x:v>
      </x:c>
      <x:c r="C1" s="24" t="str">
        <x:v>Evidence / Comment</x:v>
      </x:c>
    </x:row>
    <x:row r="2">
      <x:c r="A2" s="14" t="str">
        <x:v>Requirements defined</x:v>
      </x:c>
      <x:c r="B2" s="14" t="str">
        <x:v>Complete</x:v>
      </x:c>
      <x:c r="C2" s="14" t="str">
        <x:v>10 kg rated payload; 20-60 deg arm range; manual lead screw; bench-top concept</x:v>
      </x:c>
    </x:row>
    <x:row r="3">
      <x:c r="A3" s="14" t="str">
        <x:v>Kinematics checked</x:v>
      </x:c>
      <x:c r="B3" s="14" t="str">
        <x:v>Complete</x:v>
      </x:c>
      <x:c r="C3" s="14" t="str">
        <x:v>Kinematics sheet calculates height, span, travel, force and torque</x:v>
      </x:c>
    </x:row>
    <x:row r="4">
      <x:c r="A4" s="14" t="str">
        <x:v>Global arm strength checked</x:v>
      </x:c>
      <x:c r="B4" s="14" t="str">
        <x:v>Complete</x:v>
      </x:c>
      <x:c r="C4" s="14" t="str">
        <x:v>Axial, bearing, pin shear and Euler buckling checks</x:v>
      </x:c>
    </x:row>
    <x:row r="5">
      <x:c r="A5" s="14" t="str">
        <x:v>Top platform stiffness checked</x:v>
      </x:c>
      <x:c r="B5" s="14" t="str">
        <x:v>Complete</x:v>
      </x:c>
      <x:c r="C5" s="14" t="str">
        <x:v>Conservative beam-strip bending and deflection check</x:v>
      </x:c>
    </x:row>
    <x:row r="6">
      <x:c r="A6" s="14" t="str">
        <x:v>Lead screw torque checked</x:v>
      </x:c>
      <x:c r="B6" s="14" t="str">
        <x:v>Complete</x:v>
      </x:c>
      <x:c r="C6" s="14" t="str">
        <x:v>Square-thread approximation; self-locking angle check</x:v>
      </x:c>
    </x:row>
    <x:row r="7">
      <x:c r="A7" s="14" t="str">
        <x:v>CAD assembly created</x:v>
      </x:c>
      <x:c r="B7" s="14" t="str">
        <x:v>Complete</x:v>
      </x:c>
      <x:c r="C7" s="14" t="str">
        <x:v>STEP assembly + individual STEP/STL part files</x:v>
      </x:c>
    </x:row>
    <x:row r="8">
      <x:c r="A8" s="14" t="str">
        <x:v>2D manufacturing profiles</x:v>
      </x:c>
      <x:c r="B8" s="14" t="str">
        <x:v>Complete</x:v>
      </x:c>
      <x:c r="C8" s="14" t="str">
        <x:v>DXF for arm, top platform and base plate</x:v>
      </x:c>
    </x:row>
    <x:row r="9">
      <x:c r="A9" s="14" t="str">
        <x:v>Risk assessment</x:v>
      </x:c>
      <x:c r="B9" s="14" t="str">
        <x:v>Complete</x:v>
      </x:c>
      <x:c r="C9" s="14" t="str">
        <x:v>Concept-stage risk register</x:v>
      </x:c>
    </x:row>
    <x:row r="10">
      <x:c r="A10" s="14" t="str">
        <x:v>FEA of local stress concentrations</x:v>
      </x:c>
      <x:c r="B10" s="14" t="str">
        <x:v>Not complete</x:v>
      </x:c>
      <x:c r="C10" s="14" t="str">
        <x:v>Recommended before manufacturing; especially arm holes/slots and brackets</x:v>
      </x:c>
    </x:row>
    <x:row r="11">
      <x:c r="A11" s="14" t="str">
        <x:v>Physical prototype</x:v>
      </x:c>
      <x:c r="B11" s="14" t="str">
        <x:v>Not built</x:v>
      </x:c>
      <x:c r="C11" s="14" t="str">
        <x:v>This release is a virtual engineering design project</x:v>
      </x:c>
    </x:row>
    <x:row r="12">
      <x:c r="A12" s="14" t="str">
        <x:v>Proof-load / endurance test</x:v>
      </x:c>
      <x:c r="B12" s="14" t="str">
        <x:v>Not performed</x:v>
      </x:c>
      <x:c r="C12" s="14" t="str">
        <x:v>Required before any real use</x:v>
      </x:c>
    </x:row>
  </x:sheetData>
  <x:pageMargins left="0.7" right="0.7" top="0.75" bottom="0.75" header="0.3" footer="0.3"/>
</x:worksheet>
</file>